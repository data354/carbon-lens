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_KORA\OneDrive\Documents\DEFCCS\GIZ\CarbonLENS_SENEGAL\"/>
    </mc:Choice>
  </mc:AlternateContent>
  <xr:revisionPtr revIDLastSave="0" documentId="13_ncr:1_{AA111A15-F643-407E-BC08-B957B5013537}" xr6:coauthVersionLast="47" xr6:coauthVersionMax="47" xr10:uidLastSave="{00000000-0000-0000-0000-000000000000}"/>
  <bookViews>
    <workbookView xWindow="-120" yWindow="-120" windowWidth="29040" windowHeight="17520" xr2:uid="{52A2607E-44FC-467A-9CF4-54C733C82AA2}"/>
  </bookViews>
  <sheets>
    <sheet name="Feuil1" sheetId="1" r:id="rId1"/>
  </sheets>
  <definedNames>
    <definedName name="_xlnm._FilterDatabase" localSheetId="0" hidden="1">Feuil1!$A$3:$I$43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I48" i="1"/>
  <c r="J48" i="1"/>
  <c r="K48" i="1"/>
  <c r="L48" i="1"/>
  <c r="H47" i="1"/>
  <c r="I47" i="1"/>
  <c r="J47" i="1"/>
  <c r="K47" i="1"/>
  <c r="L47" i="1"/>
  <c r="H46" i="1"/>
  <c r="I46" i="1"/>
  <c r="J46" i="1"/>
  <c r="K46" i="1"/>
  <c r="L46" i="1"/>
  <c r="H45" i="1"/>
  <c r="I45" i="1"/>
  <c r="J45" i="1"/>
  <c r="K45" i="1"/>
  <c r="L45" i="1"/>
  <c r="G48" i="1"/>
  <c r="G47" i="1"/>
  <c r="G46" i="1"/>
  <c r="G45" i="1"/>
</calcChain>
</file>

<file path=xl/sharedStrings.xml><?xml version="1.0" encoding="utf-8"?>
<sst xmlns="http://schemas.openxmlformats.org/spreadsheetml/2006/main" count="139" uniqueCount="58">
  <si>
    <t>Sous-Zeg</t>
  </si>
  <si>
    <t>Annee</t>
  </si>
  <si>
    <t>Placette</t>
  </si>
  <si>
    <t>Strate</t>
  </si>
  <si>
    <t>Foret naturelle</t>
  </si>
  <si>
    <t>Moyenne Casamance</t>
  </si>
  <si>
    <t>MCA01C</t>
  </si>
  <si>
    <t>MCA01E</t>
  </si>
  <si>
    <t>MCA01N</t>
  </si>
  <si>
    <t>MCA01S</t>
  </si>
  <si>
    <t>MCA01W</t>
  </si>
  <si>
    <t>MCA02C</t>
  </si>
  <si>
    <t>MCA02E</t>
  </si>
  <si>
    <t>MCA02N</t>
  </si>
  <si>
    <t>MCA02S</t>
  </si>
  <si>
    <t>MCA02W</t>
  </si>
  <si>
    <t>MCA03C</t>
  </si>
  <si>
    <t>MCA03E</t>
  </si>
  <si>
    <t>MCA03N</t>
  </si>
  <si>
    <t>MCA03S</t>
  </si>
  <si>
    <t>MCA03W</t>
  </si>
  <si>
    <t>MCA04C</t>
  </si>
  <si>
    <t>MCA04E</t>
  </si>
  <si>
    <t>MCA04N</t>
  </si>
  <si>
    <t>MCA04S</t>
  </si>
  <si>
    <t>MCA04W</t>
  </si>
  <si>
    <t>MCA05C</t>
  </si>
  <si>
    <t>MCA05E</t>
  </si>
  <si>
    <t>MCA05N</t>
  </si>
  <si>
    <t>MCA05S</t>
  </si>
  <si>
    <t>MCA05W</t>
  </si>
  <si>
    <t>MCA06C</t>
  </si>
  <si>
    <t>MCA06E</t>
  </si>
  <si>
    <t>MCA06N</t>
  </si>
  <si>
    <t>MCA06S</t>
  </si>
  <si>
    <t>MCA06W</t>
  </si>
  <si>
    <t>MCA07C</t>
  </si>
  <si>
    <t>MCA07E</t>
  </si>
  <si>
    <t>MCA07N</t>
  </si>
  <si>
    <t>MCA07S</t>
  </si>
  <si>
    <t>MCA07W</t>
  </si>
  <si>
    <t>MCA08C</t>
  </si>
  <si>
    <t>MCA08E</t>
  </si>
  <si>
    <t>MCA08N</t>
  </si>
  <si>
    <t>MCA08S</t>
  </si>
  <si>
    <t>MCA08W</t>
  </si>
  <si>
    <t>AGB_t.m.s_ DBH&gt;=10cm</t>
  </si>
  <si>
    <t>AGB_tha_(avec Model_Mbow_al)</t>
  </si>
  <si>
    <t>AGB_tha_(avec Model_Chave_al)</t>
  </si>
  <si>
    <t>Densite (Nha)</t>
  </si>
  <si>
    <t>s.d</t>
  </si>
  <si>
    <t>max</t>
  </si>
  <si>
    <t>min</t>
  </si>
  <si>
    <t>Moyenne</t>
  </si>
  <si>
    <t>AGB_t.m.s_ DBH&gt;=3cm</t>
  </si>
  <si>
    <t>X</t>
  </si>
  <si>
    <t>Y</t>
  </si>
  <si>
    <t>DATE_DONNEES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</si>
</sst>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7" borderId="0" xfId="0" applyFill="1"/>
    <xf numFmtId="0" fontId="0" fillId="2" borderId="6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9" xfId="0" applyFill="1" applyBorder="1"/>
    <xf numFmtId="2" fontId="0" fillId="9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FA9D-14D7-4FA1-BC76-CBC185376862}">
  <dimension ref="A1:M48"/>
  <sheetViews>
    <sheetView tabSelected="1" topLeftCell="E1" workbookViewId="0">
      <selection activeCell="M5" sqref="M5:M43"/>
    </sheetView>
  </sheetViews>
  <sheetFormatPr baseColWidth="10" defaultRowHeight="15" x14ac:dyDescent="0.25"/>
  <cols>
    <col min="1" max="1" width="20.42578125" bestFit="1" customWidth="1"/>
    <col min="6" max="6" width="15" customWidth="1"/>
    <col min="7" max="8" width="29.5703125" bestFit="1" customWidth="1"/>
    <col min="9" max="9" width="14.7109375" customWidth="1"/>
    <col min="10" max="10" width="29.85546875" customWidth="1"/>
    <col min="11" max="11" width="30.5703125" customWidth="1"/>
    <col min="12" max="12" width="13.140625" bestFit="1" customWidth="1"/>
    <col min="13" max="13" width="20.140625" customWidth="1"/>
  </cols>
  <sheetData>
    <row r="1" spans="1:13" ht="15.75" thickBot="1" x14ac:dyDescent="0.3"/>
    <row r="2" spans="1:13" ht="15.75" thickBot="1" x14ac:dyDescent="0.3">
      <c r="G2" s="19" t="s">
        <v>46</v>
      </c>
      <c r="H2" s="20"/>
      <c r="I2" s="21"/>
      <c r="J2" s="22" t="s">
        <v>54</v>
      </c>
      <c r="K2" s="23"/>
      <c r="L2" s="24"/>
    </row>
    <row r="3" spans="1:13" ht="25.5" customHeight="1" thickBot="1" x14ac:dyDescent="0.3">
      <c r="A3" s="8" t="s">
        <v>0</v>
      </c>
      <c r="B3" s="8" t="s">
        <v>1</v>
      </c>
      <c r="C3" s="8" t="s">
        <v>2</v>
      </c>
      <c r="D3" s="8" t="s">
        <v>55</v>
      </c>
      <c r="E3" s="8" t="s">
        <v>56</v>
      </c>
      <c r="F3" s="8" t="s">
        <v>3</v>
      </c>
      <c r="G3" s="1" t="s">
        <v>47</v>
      </c>
      <c r="H3" s="10" t="s">
        <v>48</v>
      </c>
      <c r="I3" s="12" t="s">
        <v>49</v>
      </c>
      <c r="J3" s="9" t="s">
        <v>47</v>
      </c>
      <c r="K3" s="10" t="s">
        <v>48</v>
      </c>
      <c r="L3" s="11" t="s">
        <v>49</v>
      </c>
      <c r="M3" t="s">
        <v>57</v>
      </c>
    </row>
    <row r="4" spans="1:13" ht="15.75" thickBot="1" x14ac:dyDescent="0.3">
      <c r="A4" s="8" t="s">
        <v>5</v>
      </c>
      <c r="B4" s="8">
        <v>2024</v>
      </c>
      <c r="C4" s="8" t="s">
        <v>6</v>
      </c>
      <c r="D4" s="8">
        <v>481301</v>
      </c>
      <c r="E4" s="8">
        <v>1427175</v>
      </c>
      <c r="F4" s="8" t="s">
        <v>4</v>
      </c>
      <c r="G4" s="2">
        <v>83.573621616241994</v>
      </c>
      <c r="H4" s="3">
        <v>31.707180533439502</v>
      </c>
      <c r="I4" s="4">
        <v>311</v>
      </c>
      <c r="J4" s="2">
        <v>103.57712977707</v>
      </c>
      <c r="K4" s="3">
        <v>38.217431329617803</v>
      </c>
      <c r="L4" s="6">
        <v>1605</v>
      </c>
      <c r="M4" s="25">
        <v>45413</v>
      </c>
    </row>
    <row r="5" spans="1:13" ht="15.75" thickBot="1" x14ac:dyDescent="0.3">
      <c r="A5" s="8" t="s">
        <v>5</v>
      </c>
      <c r="B5" s="8">
        <v>2024</v>
      </c>
      <c r="C5" s="8" t="s">
        <v>7</v>
      </c>
      <c r="D5" s="8">
        <v>482300</v>
      </c>
      <c r="E5" s="8">
        <v>1427168</v>
      </c>
      <c r="F5" s="8" t="s">
        <v>4</v>
      </c>
      <c r="G5" s="2">
        <v>69.057349721337602</v>
      </c>
      <c r="H5" s="3">
        <v>23.327776671974501</v>
      </c>
      <c r="I5" s="5">
        <v>187</v>
      </c>
      <c r="J5" s="2">
        <v>94.782071058917197</v>
      </c>
      <c r="K5" s="3">
        <v>31.412221337579599</v>
      </c>
      <c r="L5" s="7">
        <v>2065</v>
      </c>
      <c r="M5" s="25">
        <v>45413</v>
      </c>
    </row>
    <row r="6" spans="1:13" ht="15.75" thickBot="1" x14ac:dyDescent="0.3">
      <c r="A6" s="8" t="s">
        <v>5</v>
      </c>
      <c r="B6" s="8">
        <v>2024</v>
      </c>
      <c r="C6" s="8" t="s">
        <v>8</v>
      </c>
      <c r="D6" s="8">
        <v>481300</v>
      </c>
      <c r="E6" s="8">
        <v>1428175</v>
      </c>
      <c r="F6" s="8" t="s">
        <v>4</v>
      </c>
      <c r="G6" s="2">
        <v>100.249751194268</v>
      </c>
      <c r="H6" s="3">
        <v>41.390450835987302</v>
      </c>
      <c r="I6" s="5">
        <v>460</v>
      </c>
      <c r="J6" s="2">
        <v>118.708748009554</v>
      </c>
      <c r="K6" s="3">
        <v>47.021546576433103</v>
      </c>
      <c r="L6" s="7">
        <v>1555</v>
      </c>
      <c r="M6" s="25">
        <v>45413</v>
      </c>
    </row>
    <row r="7" spans="1:13" ht="15.75" thickBot="1" x14ac:dyDescent="0.3">
      <c r="A7" s="8" t="s">
        <v>5</v>
      </c>
      <c r="B7" s="8">
        <v>2024</v>
      </c>
      <c r="C7" s="8" t="s">
        <v>9</v>
      </c>
      <c r="D7" s="8">
        <v>481300</v>
      </c>
      <c r="E7" s="8">
        <v>1426175</v>
      </c>
      <c r="F7" s="8" t="s">
        <v>4</v>
      </c>
      <c r="G7" s="2">
        <v>55.841933718152902</v>
      </c>
      <c r="H7" s="3">
        <v>21.165903662420401</v>
      </c>
      <c r="I7" s="5">
        <v>162</v>
      </c>
      <c r="J7" s="2">
        <v>70.220815087579595</v>
      </c>
      <c r="K7" s="3">
        <v>26.054189888534999</v>
      </c>
      <c r="L7" s="7">
        <v>1281</v>
      </c>
      <c r="M7" s="25">
        <v>45413</v>
      </c>
    </row>
    <row r="8" spans="1:13" ht="15.75" thickBot="1" x14ac:dyDescent="0.3">
      <c r="A8" s="8" t="s">
        <v>5</v>
      </c>
      <c r="B8" s="8">
        <v>2024</v>
      </c>
      <c r="C8" s="8" t="s">
        <v>10</v>
      </c>
      <c r="D8" s="8">
        <v>480300</v>
      </c>
      <c r="E8" s="8">
        <v>1427175</v>
      </c>
      <c r="F8" s="8" t="s">
        <v>4</v>
      </c>
      <c r="G8" s="2">
        <v>75.285454816878996</v>
      </c>
      <c r="H8" s="3">
        <v>27.305931528662398</v>
      </c>
      <c r="I8" s="5">
        <v>361</v>
      </c>
      <c r="J8" s="2">
        <v>97.638335987261101</v>
      </c>
      <c r="K8" s="3">
        <v>33.968949044585997</v>
      </c>
      <c r="L8" s="7">
        <v>1767</v>
      </c>
      <c r="M8" s="25">
        <v>45413</v>
      </c>
    </row>
    <row r="9" spans="1:13" ht="15.75" thickBot="1" x14ac:dyDescent="0.3">
      <c r="A9" s="8" t="s">
        <v>5</v>
      </c>
      <c r="B9" s="8">
        <v>2024</v>
      </c>
      <c r="C9" s="8" t="s">
        <v>11</v>
      </c>
      <c r="D9" s="8">
        <v>453863</v>
      </c>
      <c r="E9" s="8">
        <v>1439717</v>
      </c>
      <c r="F9" s="8" t="s">
        <v>4</v>
      </c>
      <c r="G9" s="2">
        <v>21.643809713375799</v>
      </c>
      <c r="H9" s="3">
        <v>10.359151074840799</v>
      </c>
      <c r="I9" s="5">
        <v>174</v>
      </c>
      <c r="J9" s="2">
        <v>32.758534036624198</v>
      </c>
      <c r="K9" s="3">
        <v>14.605767316879</v>
      </c>
      <c r="L9" s="7">
        <v>846</v>
      </c>
      <c r="M9" s="25">
        <v>45413</v>
      </c>
    </row>
    <row r="10" spans="1:13" ht="15.75" thickBot="1" x14ac:dyDescent="0.3">
      <c r="A10" s="8" t="s">
        <v>5</v>
      </c>
      <c r="B10" s="8">
        <v>2024</v>
      </c>
      <c r="C10" s="8" t="s">
        <v>12</v>
      </c>
      <c r="D10" s="8">
        <v>454863</v>
      </c>
      <c r="E10" s="8">
        <v>1439717</v>
      </c>
      <c r="F10" s="8" t="s">
        <v>4</v>
      </c>
      <c r="G10" s="2">
        <v>55.108056329617803</v>
      </c>
      <c r="H10" s="3">
        <v>21.319416799363101</v>
      </c>
      <c r="I10" s="5">
        <v>162</v>
      </c>
      <c r="J10" s="2">
        <v>64.322327826433096</v>
      </c>
      <c r="K10" s="3">
        <v>24.782046178344</v>
      </c>
      <c r="L10" s="7">
        <v>809</v>
      </c>
      <c r="M10" s="25">
        <v>45413</v>
      </c>
    </row>
    <row r="11" spans="1:13" ht="15.75" thickBot="1" x14ac:dyDescent="0.3">
      <c r="A11" s="8" t="s">
        <v>5</v>
      </c>
      <c r="B11" s="8">
        <v>2024</v>
      </c>
      <c r="C11" s="8" t="s">
        <v>13</v>
      </c>
      <c r="D11" s="8">
        <v>453863</v>
      </c>
      <c r="E11" s="8">
        <v>1440717</v>
      </c>
      <c r="F11" s="8" t="s">
        <v>4</v>
      </c>
      <c r="G11" s="2">
        <v>25.4642963773885</v>
      </c>
      <c r="H11" s="3">
        <v>13.317326831210201</v>
      </c>
      <c r="I11" s="5">
        <v>199</v>
      </c>
      <c r="J11" s="2">
        <v>38.037146695859903</v>
      </c>
      <c r="K11" s="3">
        <v>17.668441480891701</v>
      </c>
      <c r="L11" s="7">
        <v>983</v>
      </c>
      <c r="M11" s="25">
        <v>45413</v>
      </c>
    </row>
    <row r="12" spans="1:13" ht="15.75" thickBot="1" x14ac:dyDescent="0.3">
      <c r="A12" s="8" t="s">
        <v>5</v>
      </c>
      <c r="B12" s="8">
        <v>2024</v>
      </c>
      <c r="C12" s="8" t="s">
        <v>14</v>
      </c>
      <c r="D12" s="8">
        <v>453863</v>
      </c>
      <c r="E12" s="8">
        <v>1438717</v>
      </c>
      <c r="F12" s="8" t="s">
        <v>4</v>
      </c>
      <c r="G12" s="2">
        <v>45.6913813694268</v>
      </c>
      <c r="H12" s="3">
        <v>20.399706409235701</v>
      </c>
      <c r="I12" s="5">
        <v>187</v>
      </c>
      <c r="J12" s="2">
        <v>58.954941281847098</v>
      </c>
      <c r="K12" s="3">
        <v>25.272442277070098</v>
      </c>
      <c r="L12" s="7">
        <v>970</v>
      </c>
      <c r="M12" s="25">
        <v>45413</v>
      </c>
    </row>
    <row r="13" spans="1:13" ht="15.75" thickBot="1" x14ac:dyDescent="0.3">
      <c r="A13" s="8" t="s">
        <v>5</v>
      </c>
      <c r="B13" s="8">
        <v>2024</v>
      </c>
      <c r="C13" s="8" t="s">
        <v>15</v>
      </c>
      <c r="D13" s="8">
        <v>452863</v>
      </c>
      <c r="E13" s="8">
        <v>1439717</v>
      </c>
      <c r="F13" s="8" t="s">
        <v>4</v>
      </c>
      <c r="G13" s="2">
        <v>69.223178742038201</v>
      </c>
      <c r="H13" s="3">
        <v>24.639978105095501</v>
      </c>
      <c r="I13" s="5">
        <v>112</v>
      </c>
      <c r="J13" s="2">
        <v>78.796750597133794</v>
      </c>
      <c r="K13" s="3">
        <v>27.9227209394904</v>
      </c>
      <c r="L13" s="7">
        <v>833</v>
      </c>
      <c r="M13" s="25">
        <v>45413</v>
      </c>
    </row>
    <row r="14" spans="1:13" ht="15.75" thickBot="1" x14ac:dyDescent="0.3">
      <c r="A14" s="8" t="s">
        <v>5</v>
      </c>
      <c r="B14" s="8">
        <v>2024</v>
      </c>
      <c r="C14" s="8" t="s">
        <v>16</v>
      </c>
      <c r="D14" s="8">
        <v>416832</v>
      </c>
      <c r="E14" s="8">
        <v>1445731</v>
      </c>
      <c r="F14" s="8" t="s">
        <v>4</v>
      </c>
      <c r="G14" s="2">
        <v>116.14706137148001</v>
      </c>
      <c r="H14" s="3">
        <v>76.339818869426793</v>
      </c>
      <c r="I14" s="5">
        <v>274</v>
      </c>
      <c r="J14" s="2">
        <v>119.524400145366</v>
      </c>
      <c r="K14" s="3">
        <v>77.647541799363097</v>
      </c>
      <c r="L14" s="7">
        <v>460</v>
      </c>
      <c r="M14" s="25">
        <v>45413</v>
      </c>
    </row>
    <row r="15" spans="1:13" ht="15.75" thickBot="1" x14ac:dyDescent="0.3">
      <c r="A15" s="8" t="s">
        <v>5</v>
      </c>
      <c r="B15" s="8">
        <v>2024</v>
      </c>
      <c r="C15" s="8" t="s">
        <v>17</v>
      </c>
      <c r="D15" s="8">
        <v>417832</v>
      </c>
      <c r="E15" s="8">
        <v>1445731</v>
      </c>
      <c r="F15" s="8" t="s">
        <v>4</v>
      </c>
      <c r="G15" s="2">
        <v>43.261071855095501</v>
      </c>
      <c r="H15" s="3">
        <v>22.1621218152866</v>
      </c>
      <c r="I15" s="5">
        <v>211</v>
      </c>
      <c r="J15" s="2">
        <v>46.938246417197398</v>
      </c>
      <c r="K15" s="3">
        <v>23.1844645700637</v>
      </c>
      <c r="L15" s="7">
        <v>460</v>
      </c>
      <c r="M15" s="25">
        <v>45413</v>
      </c>
    </row>
    <row r="16" spans="1:13" ht="15.75" thickBot="1" x14ac:dyDescent="0.3">
      <c r="A16" s="8" t="s">
        <v>5</v>
      </c>
      <c r="B16" s="8">
        <v>2024</v>
      </c>
      <c r="C16" s="8" t="s">
        <v>18</v>
      </c>
      <c r="D16" s="8">
        <v>416832</v>
      </c>
      <c r="E16" s="8">
        <v>1446731</v>
      </c>
      <c r="F16" s="8" t="s">
        <v>4</v>
      </c>
      <c r="G16" s="2">
        <v>26.042172571656</v>
      </c>
      <c r="H16" s="3">
        <v>13.4134902468153</v>
      </c>
      <c r="I16" s="5">
        <v>174</v>
      </c>
      <c r="J16" s="2">
        <v>29.821282842356698</v>
      </c>
      <c r="K16" s="3">
        <v>14.594197850318499</v>
      </c>
      <c r="L16" s="7">
        <v>435</v>
      </c>
      <c r="M16" s="25">
        <v>45413</v>
      </c>
    </row>
    <row r="17" spans="1:13" ht="15.75" thickBot="1" x14ac:dyDescent="0.3">
      <c r="A17" s="8" t="s">
        <v>5</v>
      </c>
      <c r="B17" s="8">
        <v>2024</v>
      </c>
      <c r="C17" s="8" t="s">
        <v>19</v>
      </c>
      <c r="D17" s="8">
        <v>416832</v>
      </c>
      <c r="E17" s="8">
        <v>1444731</v>
      </c>
      <c r="F17" s="8" t="s">
        <v>4</v>
      </c>
      <c r="G17" s="2">
        <v>31.7380075636943</v>
      </c>
      <c r="H17" s="3">
        <v>16.767515923566901</v>
      </c>
      <c r="I17" s="5">
        <v>274</v>
      </c>
      <c r="J17" s="2">
        <v>48.577453224522301</v>
      </c>
      <c r="K17" s="3">
        <v>23.6119128184713</v>
      </c>
      <c r="L17" s="7">
        <v>1281</v>
      </c>
      <c r="M17" s="25">
        <v>45413</v>
      </c>
    </row>
    <row r="18" spans="1:13" ht="15.75" thickBot="1" x14ac:dyDescent="0.3">
      <c r="A18" s="8" t="s">
        <v>5</v>
      </c>
      <c r="B18" s="8">
        <v>2024</v>
      </c>
      <c r="C18" s="8" t="s">
        <v>20</v>
      </c>
      <c r="D18" s="8">
        <v>415832</v>
      </c>
      <c r="E18" s="8">
        <v>1445731</v>
      </c>
      <c r="F18" s="8" t="s">
        <v>4</v>
      </c>
      <c r="G18" s="2">
        <v>69.663216560509596</v>
      </c>
      <c r="H18" s="3">
        <v>38.003956011146499</v>
      </c>
      <c r="I18" s="5">
        <v>448</v>
      </c>
      <c r="J18" s="2">
        <v>83.359623805732497</v>
      </c>
      <c r="K18" s="3">
        <v>43.253632563694303</v>
      </c>
      <c r="L18" s="7">
        <v>1232</v>
      </c>
      <c r="M18" s="25">
        <v>45413</v>
      </c>
    </row>
    <row r="19" spans="1:13" ht="15.75" thickBot="1" x14ac:dyDescent="0.3">
      <c r="A19" s="8" t="s">
        <v>5</v>
      </c>
      <c r="B19" s="8">
        <v>2024</v>
      </c>
      <c r="C19" s="8" t="s">
        <v>21</v>
      </c>
      <c r="D19" s="8">
        <v>450100</v>
      </c>
      <c r="E19" s="8">
        <v>1407415</v>
      </c>
      <c r="F19" s="8" t="s">
        <v>4</v>
      </c>
      <c r="G19" s="2">
        <v>28.6356488853503</v>
      </c>
      <c r="H19" s="3">
        <v>14.5104747213376</v>
      </c>
      <c r="I19" s="5">
        <v>236</v>
      </c>
      <c r="J19" s="2">
        <v>40.963500199044603</v>
      </c>
      <c r="K19" s="3">
        <v>18.914460589171998</v>
      </c>
      <c r="L19" s="7">
        <v>1033</v>
      </c>
      <c r="M19" s="25">
        <v>45413</v>
      </c>
    </row>
    <row r="20" spans="1:13" ht="15.75" thickBot="1" x14ac:dyDescent="0.3">
      <c r="A20" s="8" t="s">
        <v>5</v>
      </c>
      <c r="B20" s="8">
        <v>2024</v>
      </c>
      <c r="C20" s="8" t="s">
        <v>22</v>
      </c>
      <c r="D20" s="8">
        <v>451100</v>
      </c>
      <c r="E20" s="8">
        <v>1407408</v>
      </c>
      <c r="F20" s="8" t="s">
        <v>4</v>
      </c>
      <c r="G20" s="2">
        <v>72.945834992038201</v>
      </c>
      <c r="H20" s="3">
        <v>33.364102308917197</v>
      </c>
      <c r="I20" s="5">
        <v>311</v>
      </c>
      <c r="J20" s="2">
        <v>81.7745820063694</v>
      </c>
      <c r="K20" s="3">
        <v>36.7834394904459</v>
      </c>
      <c r="L20" s="7">
        <v>896</v>
      </c>
      <c r="M20" s="25">
        <v>45413</v>
      </c>
    </row>
    <row r="21" spans="1:13" ht="15.75" thickBot="1" x14ac:dyDescent="0.3">
      <c r="A21" s="8" t="s">
        <v>5</v>
      </c>
      <c r="B21" s="8">
        <v>2024</v>
      </c>
      <c r="C21" s="8" t="s">
        <v>23</v>
      </c>
      <c r="D21" s="8">
        <v>450100</v>
      </c>
      <c r="E21" s="8">
        <v>1408415</v>
      </c>
      <c r="F21" s="8" t="s">
        <v>4</v>
      </c>
      <c r="G21" s="2">
        <v>41.209593949044603</v>
      </c>
      <c r="H21" s="3">
        <v>21.3222780652866</v>
      </c>
      <c r="I21" s="5">
        <v>112</v>
      </c>
      <c r="J21" s="2">
        <v>44.818147890127399</v>
      </c>
      <c r="K21" s="3">
        <v>22.847706011146499</v>
      </c>
      <c r="L21" s="7">
        <v>348</v>
      </c>
      <c r="M21" s="25">
        <v>45413</v>
      </c>
    </row>
    <row r="22" spans="1:13" ht="15.75" thickBot="1" x14ac:dyDescent="0.3">
      <c r="A22" s="8" t="s">
        <v>5</v>
      </c>
      <c r="B22" s="8">
        <v>2024</v>
      </c>
      <c r="C22" s="8" t="s">
        <v>24</v>
      </c>
      <c r="D22" s="8">
        <v>450100</v>
      </c>
      <c r="E22" s="8">
        <v>1406415</v>
      </c>
      <c r="F22" s="8" t="s">
        <v>4</v>
      </c>
      <c r="G22" s="2">
        <v>120.305632961783</v>
      </c>
      <c r="H22" s="3">
        <v>40.331284832802503</v>
      </c>
      <c r="I22" s="5">
        <v>224</v>
      </c>
      <c r="J22" s="2">
        <v>127.894780055732</v>
      </c>
      <c r="K22" s="3">
        <v>44.219123208598702</v>
      </c>
      <c r="L22" s="7">
        <v>547</v>
      </c>
      <c r="M22" s="25">
        <v>45413</v>
      </c>
    </row>
    <row r="23" spans="1:13" ht="15.75" thickBot="1" x14ac:dyDescent="0.3">
      <c r="A23" s="8" t="s">
        <v>5</v>
      </c>
      <c r="B23" s="8">
        <v>2024</v>
      </c>
      <c r="C23" s="8" t="s">
        <v>25</v>
      </c>
      <c r="D23" s="8">
        <v>449100</v>
      </c>
      <c r="E23" s="8">
        <v>1407415</v>
      </c>
      <c r="F23" s="8" t="s">
        <v>4</v>
      </c>
      <c r="G23" s="2">
        <v>62.957827428343897</v>
      </c>
      <c r="H23" s="3">
        <v>33.124502388534999</v>
      </c>
      <c r="I23" s="5">
        <v>336</v>
      </c>
      <c r="J23" s="2">
        <v>83.861315684713404</v>
      </c>
      <c r="K23" s="3">
        <v>41.748482285031798</v>
      </c>
      <c r="L23" s="7">
        <v>1456</v>
      </c>
      <c r="M23" s="25">
        <v>45413</v>
      </c>
    </row>
    <row r="24" spans="1:13" ht="15.75" thickBot="1" x14ac:dyDescent="0.3">
      <c r="A24" s="8" t="s">
        <v>5</v>
      </c>
      <c r="B24" s="8">
        <v>2024</v>
      </c>
      <c r="C24" s="8" t="s">
        <v>26</v>
      </c>
      <c r="D24" s="8">
        <v>474632</v>
      </c>
      <c r="E24" s="8">
        <v>1402135</v>
      </c>
      <c r="F24" s="8" t="s">
        <v>4</v>
      </c>
      <c r="G24" s="2">
        <v>21.0074890525478</v>
      </c>
      <c r="H24" s="3">
        <v>12.0496616242038</v>
      </c>
      <c r="I24" s="5">
        <v>149</v>
      </c>
      <c r="J24" s="2">
        <v>34.827726910827998</v>
      </c>
      <c r="K24" s="3">
        <v>17.736241042993601</v>
      </c>
      <c r="L24" s="7">
        <v>983</v>
      </c>
      <c r="M24" s="25">
        <v>45413</v>
      </c>
    </row>
    <row r="25" spans="1:13" ht="15.75" thickBot="1" x14ac:dyDescent="0.3">
      <c r="A25" s="8" t="s">
        <v>5</v>
      </c>
      <c r="B25" s="8">
        <v>2024</v>
      </c>
      <c r="C25" s="8" t="s">
        <v>27</v>
      </c>
      <c r="D25" s="8">
        <v>475632</v>
      </c>
      <c r="E25" s="8">
        <v>1402135</v>
      </c>
      <c r="F25" s="8" t="s">
        <v>4</v>
      </c>
      <c r="G25" s="2">
        <v>47.9374751194268</v>
      </c>
      <c r="H25" s="3">
        <v>26.543341958598699</v>
      </c>
      <c r="I25" s="5">
        <v>249</v>
      </c>
      <c r="J25" s="2">
        <v>54.322477109872601</v>
      </c>
      <c r="K25" s="3">
        <v>28.928891321656</v>
      </c>
      <c r="L25" s="7">
        <v>597</v>
      </c>
      <c r="M25" s="25">
        <v>45413</v>
      </c>
    </row>
    <row r="26" spans="1:13" ht="15.75" thickBot="1" x14ac:dyDescent="0.3">
      <c r="A26" s="8" t="s">
        <v>5</v>
      </c>
      <c r="B26" s="8">
        <v>2024</v>
      </c>
      <c r="C26" s="8" t="s">
        <v>28</v>
      </c>
      <c r="D26" s="8">
        <v>474632</v>
      </c>
      <c r="E26" s="8">
        <v>1403135</v>
      </c>
      <c r="F26" s="8" t="s">
        <v>4</v>
      </c>
      <c r="G26" s="2">
        <v>24.771322651273898</v>
      </c>
      <c r="H26" s="3">
        <v>13.480418988853501</v>
      </c>
      <c r="I26" s="5">
        <v>224</v>
      </c>
      <c r="J26" s="2">
        <v>27.875497611465001</v>
      </c>
      <c r="K26" s="3">
        <v>14.643585788216599</v>
      </c>
      <c r="L26" s="7">
        <v>448</v>
      </c>
      <c r="M26" s="25">
        <v>45413</v>
      </c>
    </row>
    <row r="27" spans="1:13" ht="15.75" thickBot="1" x14ac:dyDescent="0.3">
      <c r="A27" s="8" t="s">
        <v>5</v>
      </c>
      <c r="B27" s="8">
        <v>2024</v>
      </c>
      <c r="C27" s="8" t="s">
        <v>29</v>
      </c>
      <c r="D27" s="8">
        <v>474633</v>
      </c>
      <c r="E27" s="8">
        <v>1401135</v>
      </c>
      <c r="F27" s="8" t="s">
        <v>4</v>
      </c>
      <c r="G27" s="2">
        <v>16.596362460191099</v>
      </c>
      <c r="H27" s="3">
        <v>10.0378184713376</v>
      </c>
      <c r="I27" s="5">
        <v>187</v>
      </c>
      <c r="J27" s="2">
        <v>32.181478901273898</v>
      </c>
      <c r="K27" s="3">
        <v>15.8224273487261</v>
      </c>
      <c r="L27" s="7">
        <v>1294</v>
      </c>
      <c r="M27" s="25">
        <v>45413</v>
      </c>
    </row>
    <row r="28" spans="1:13" ht="15.75" thickBot="1" x14ac:dyDescent="0.3">
      <c r="A28" s="8" t="s">
        <v>5</v>
      </c>
      <c r="B28" s="8">
        <v>2024</v>
      </c>
      <c r="C28" s="8" t="s">
        <v>30</v>
      </c>
      <c r="D28" s="8">
        <v>473632</v>
      </c>
      <c r="E28" s="8">
        <v>1402128</v>
      </c>
      <c r="F28" s="8" t="s">
        <v>4</v>
      </c>
      <c r="G28" s="2">
        <v>138.08986863057299</v>
      </c>
      <c r="H28" s="3">
        <v>54.130672770700599</v>
      </c>
      <c r="I28" s="5">
        <v>274</v>
      </c>
      <c r="J28" s="2">
        <v>142.51950636942701</v>
      </c>
      <c r="K28" s="3">
        <v>55.830762340764302</v>
      </c>
      <c r="L28" s="7">
        <v>535</v>
      </c>
      <c r="M28" s="25">
        <v>45413</v>
      </c>
    </row>
    <row r="29" spans="1:13" ht="15.75" thickBot="1" x14ac:dyDescent="0.3">
      <c r="A29" s="8" t="s">
        <v>5</v>
      </c>
      <c r="B29" s="8">
        <v>2024</v>
      </c>
      <c r="C29" s="8" t="s">
        <v>31</v>
      </c>
      <c r="D29" s="8">
        <v>444295</v>
      </c>
      <c r="E29" s="8">
        <v>1386827</v>
      </c>
      <c r="F29" s="8" t="s">
        <v>4</v>
      </c>
      <c r="G29" s="2">
        <v>17.2497511942675</v>
      </c>
      <c r="H29" s="3">
        <v>8.6773487261146496</v>
      </c>
      <c r="I29" s="5">
        <v>100</v>
      </c>
      <c r="J29" s="2">
        <v>26.541102707006399</v>
      </c>
      <c r="K29" s="3">
        <v>12.1782941878981</v>
      </c>
      <c r="L29" s="7">
        <v>734</v>
      </c>
      <c r="M29" s="25">
        <v>45413</v>
      </c>
    </row>
    <row r="30" spans="1:13" ht="15.75" thickBot="1" x14ac:dyDescent="0.3">
      <c r="A30" s="8" t="s">
        <v>5</v>
      </c>
      <c r="B30" s="8">
        <v>2024</v>
      </c>
      <c r="C30" s="8" t="s">
        <v>32</v>
      </c>
      <c r="D30" s="8">
        <v>444795</v>
      </c>
      <c r="E30" s="8">
        <v>1386827</v>
      </c>
      <c r="F30" s="8" t="s">
        <v>4</v>
      </c>
      <c r="G30" s="2">
        <v>76.166600318471296</v>
      </c>
      <c r="H30" s="3">
        <v>35.886992436305697</v>
      </c>
      <c r="I30" s="5">
        <v>274</v>
      </c>
      <c r="J30" s="2">
        <v>86.158265326433096</v>
      </c>
      <c r="K30" s="3">
        <v>39.354100318471303</v>
      </c>
      <c r="L30" s="7">
        <v>1020</v>
      </c>
      <c r="M30" s="25">
        <v>45413</v>
      </c>
    </row>
    <row r="31" spans="1:13" ht="15.75" thickBot="1" x14ac:dyDescent="0.3">
      <c r="A31" s="8" t="s">
        <v>5</v>
      </c>
      <c r="B31" s="8">
        <v>2024</v>
      </c>
      <c r="C31" s="8" t="s">
        <v>33</v>
      </c>
      <c r="D31" s="8">
        <v>444295</v>
      </c>
      <c r="E31" s="8">
        <v>1387327</v>
      </c>
      <c r="F31" s="8" t="s">
        <v>4</v>
      </c>
      <c r="G31" s="2">
        <v>66.154110270700599</v>
      </c>
      <c r="H31" s="3">
        <v>36.280976313694303</v>
      </c>
      <c r="I31" s="5">
        <v>87</v>
      </c>
      <c r="J31" s="2">
        <v>77.888236464968202</v>
      </c>
      <c r="K31" s="3">
        <v>41.092008359872601</v>
      </c>
      <c r="L31" s="7">
        <v>858</v>
      </c>
      <c r="M31" s="25">
        <v>45413</v>
      </c>
    </row>
    <row r="32" spans="1:13" ht="15.75" thickBot="1" x14ac:dyDescent="0.3">
      <c r="A32" s="8" t="s">
        <v>5</v>
      </c>
      <c r="B32" s="8">
        <v>2024</v>
      </c>
      <c r="C32" s="8" t="s">
        <v>34</v>
      </c>
      <c r="D32" s="8">
        <v>444295</v>
      </c>
      <c r="E32" s="8">
        <v>1386327</v>
      </c>
      <c r="F32" s="8" t="s">
        <v>4</v>
      </c>
      <c r="G32" s="2">
        <v>129.33011544586</v>
      </c>
      <c r="H32" s="3">
        <v>55.982409434713396</v>
      </c>
      <c r="I32" s="5">
        <v>149</v>
      </c>
      <c r="J32" s="2">
        <v>134.23959992038201</v>
      </c>
      <c r="K32" s="3">
        <v>57.747312898089199</v>
      </c>
      <c r="L32" s="7">
        <v>411</v>
      </c>
      <c r="M32" s="25">
        <v>45413</v>
      </c>
    </row>
    <row r="33" spans="1:13" ht="15.75" thickBot="1" x14ac:dyDescent="0.3">
      <c r="A33" s="8" t="s">
        <v>5</v>
      </c>
      <c r="B33" s="8">
        <v>2024</v>
      </c>
      <c r="C33" s="8" t="s">
        <v>35</v>
      </c>
      <c r="D33" s="8">
        <v>443795</v>
      </c>
      <c r="E33" s="8">
        <v>1386827</v>
      </c>
      <c r="F33" s="8" t="s">
        <v>4</v>
      </c>
      <c r="G33" s="2">
        <v>31.800582205413999</v>
      </c>
      <c r="H33" s="3">
        <v>18.9403363853503</v>
      </c>
      <c r="I33" s="5">
        <v>174</v>
      </c>
      <c r="J33" s="2">
        <v>39.785952428343897</v>
      </c>
      <c r="K33" s="3">
        <v>21.924014729299401</v>
      </c>
      <c r="L33" s="7">
        <v>746</v>
      </c>
      <c r="M33" s="25">
        <v>45413</v>
      </c>
    </row>
    <row r="34" spans="1:13" ht="15.75" thickBot="1" x14ac:dyDescent="0.3">
      <c r="A34" s="8" t="s">
        <v>5</v>
      </c>
      <c r="B34" s="8">
        <v>2024</v>
      </c>
      <c r="C34" s="8" t="s">
        <v>36</v>
      </c>
      <c r="D34" s="8">
        <v>425274</v>
      </c>
      <c r="E34" s="8">
        <v>1409135</v>
      </c>
      <c r="F34" s="8" t="s">
        <v>4</v>
      </c>
      <c r="G34" s="2">
        <v>39.908663415605098</v>
      </c>
      <c r="H34" s="3">
        <v>21.4738007563694</v>
      </c>
      <c r="I34" s="5">
        <v>373</v>
      </c>
      <c r="J34" s="2">
        <v>58.901846138534999</v>
      </c>
      <c r="K34" s="3">
        <v>29.6230593152866</v>
      </c>
      <c r="L34" s="7">
        <v>1393</v>
      </c>
      <c r="M34" s="25">
        <v>45413</v>
      </c>
    </row>
    <row r="35" spans="1:13" ht="15.75" thickBot="1" x14ac:dyDescent="0.3">
      <c r="A35" s="8" t="s">
        <v>5</v>
      </c>
      <c r="B35" s="8">
        <v>2024</v>
      </c>
      <c r="C35" s="8" t="s">
        <v>37</v>
      </c>
      <c r="D35" s="8">
        <v>426274</v>
      </c>
      <c r="E35" s="8">
        <v>1409135</v>
      </c>
      <c r="F35" s="8" t="s">
        <v>4</v>
      </c>
      <c r="G35" s="2">
        <v>80.385151273885398</v>
      </c>
      <c r="H35" s="3">
        <v>32.567177547770697</v>
      </c>
      <c r="I35" s="5">
        <v>274</v>
      </c>
      <c r="J35" s="2">
        <v>88.105369227707001</v>
      </c>
      <c r="K35" s="3">
        <v>35.6310957404459</v>
      </c>
      <c r="L35" s="7">
        <v>659</v>
      </c>
      <c r="M35" s="25">
        <v>45413</v>
      </c>
    </row>
    <row r="36" spans="1:13" ht="15.75" thickBot="1" x14ac:dyDescent="0.3">
      <c r="A36" s="8" t="s">
        <v>5</v>
      </c>
      <c r="B36" s="8">
        <v>2024</v>
      </c>
      <c r="C36" s="8" t="s">
        <v>38</v>
      </c>
      <c r="D36" s="8">
        <v>425274</v>
      </c>
      <c r="E36" s="8">
        <v>1410135</v>
      </c>
      <c r="F36" s="8" t="s">
        <v>4</v>
      </c>
      <c r="G36" s="2">
        <v>28.892789609872601</v>
      </c>
      <c r="H36" s="3">
        <v>12.150179140127401</v>
      </c>
      <c r="I36" s="5">
        <v>137</v>
      </c>
      <c r="J36" s="2">
        <v>36.072775676751597</v>
      </c>
      <c r="K36" s="3">
        <v>15.1713027468153</v>
      </c>
      <c r="L36" s="7">
        <v>535</v>
      </c>
      <c r="M36" s="25">
        <v>45413</v>
      </c>
    </row>
    <row r="37" spans="1:13" ht="15.75" thickBot="1" x14ac:dyDescent="0.3">
      <c r="A37" s="8" t="s">
        <v>5</v>
      </c>
      <c r="B37" s="8">
        <v>2024</v>
      </c>
      <c r="C37" s="8" t="s">
        <v>39</v>
      </c>
      <c r="D37" s="8">
        <v>425273</v>
      </c>
      <c r="E37" s="8">
        <v>1408135</v>
      </c>
      <c r="F37" s="8" t="s">
        <v>4</v>
      </c>
      <c r="G37" s="2">
        <v>61.125074641719699</v>
      </c>
      <c r="H37" s="3">
        <v>28.3688296178344</v>
      </c>
      <c r="I37" s="5">
        <v>211</v>
      </c>
      <c r="J37" s="2">
        <v>74.593501194267503</v>
      </c>
      <c r="K37" s="3">
        <v>33.503682324840803</v>
      </c>
      <c r="L37" s="7">
        <v>1045</v>
      </c>
      <c r="M37" s="25">
        <v>45413</v>
      </c>
    </row>
    <row r="38" spans="1:13" ht="15.75" thickBot="1" x14ac:dyDescent="0.3">
      <c r="A38" s="8" t="s">
        <v>5</v>
      </c>
      <c r="B38" s="8">
        <v>2024</v>
      </c>
      <c r="C38" s="8" t="s">
        <v>40</v>
      </c>
      <c r="D38" s="8">
        <v>424274</v>
      </c>
      <c r="E38" s="8">
        <v>1409135</v>
      </c>
      <c r="F38" s="8" t="s">
        <v>4</v>
      </c>
      <c r="G38" s="2">
        <v>112.66678532162</v>
      </c>
      <c r="H38" s="3">
        <v>239.267640326433</v>
      </c>
      <c r="I38" s="5">
        <v>423</v>
      </c>
      <c r="J38" s="2">
        <v>127.100976205378</v>
      </c>
      <c r="K38" s="3">
        <v>243.71777965764301</v>
      </c>
      <c r="L38" s="7">
        <v>1281</v>
      </c>
      <c r="M38" s="25">
        <v>45413</v>
      </c>
    </row>
    <row r="39" spans="1:13" ht="15.75" thickBot="1" x14ac:dyDescent="0.3">
      <c r="A39" s="8" t="s">
        <v>5</v>
      </c>
      <c r="B39" s="8">
        <v>2024</v>
      </c>
      <c r="C39" s="8" t="s">
        <v>41</v>
      </c>
      <c r="D39" s="8">
        <v>400618</v>
      </c>
      <c r="E39" s="8">
        <v>1413732</v>
      </c>
      <c r="F39" s="8" t="s">
        <v>4</v>
      </c>
      <c r="G39" s="2">
        <v>33.991689888534999</v>
      </c>
      <c r="H39" s="3">
        <v>17.735370222929902</v>
      </c>
      <c r="I39" s="5">
        <v>211</v>
      </c>
      <c r="J39" s="2">
        <v>37.523188694267503</v>
      </c>
      <c r="K39" s="3">
        <v>18.675482683121</v>
      </c>
      <c r="L39" s="7">
        <v>510</v>
      </c>
      <c r="M39" s="25">
        <v>45413</v>
      </c>
    </row>
    <row r="40" spans="1:13" ht="15.75" thickBot="1" x14ac:dyDescent="0.3">
      <c r="A40" s="8" t="s">
        <v>5</v>
      </c>
      <c r="B40" s="8">
        <v>2024</v>
      </c>
      <c r="C40" s="8" t="s">
        <v>42</v>
      </c>
      <c r="D40" s="8">
        <v>401618</v>
      </c>
      <c r="E40" s="8">
        <v>1413732</v>
      </c>
      <c r="F40" s="8" t="s">
        <v>4</v>
      </c>
      <c r="G40" s="2">
        <v>34.4269008757962</v>
      </c>
      <c r="H40" s="3">
        <v>18.0711335589172</v>
      </c>
      <c r="I40" s="5">
        <v>187</v>
      </c>
      <c r="J40" s="2">
        <v>38.277517914012698</v>
      </c>
      <c r="K40" s="3">
        <v>19.514082404458598</v>
      </c>
      <c r="L40" s="7">
        <v>435</v>
      </c>
      <c r="M40" s="25">
        <v>45413</v>
      </c>
    </row>
    <row r="41" spans="1:13" ht="15.75" thickBot="1" x14ac:dyDescent="0.3">
      <c r="A41" s="8" t="s">
        <v>5</v>
      </c>
      <c r="B41" s="8">
        <v>2024</v>
      </c>
      <c r="C41" s="8" t="s">
        <v>43</v>
      </c>
      <c r="D41" s="8">
        <v>400618</v>
      </c>
      <c r="E41" s="8">
        <v>1414732</v>
      </c>
      <c r="F41" s="8" t="s">
        <v>4</v>
      </c>
      <c r="G41" s="2">
        <v>21.0914858678344</v>
      </c>
      <c r="H41" s="3">
        <v>9.8084195859872594</v>
      </c>
      <c r="I41" s="5">
        <v>149</v>
      </c>
      <c r="J41" s="2">
        <v>26.643511146496799</v>
      </c>
      <c r="K41" s="3">
        <v>11.783812699044599</v>
      </c>
      <c r="L41" s="7">
        <v>547</v>
      </c>
      <c r="M41" s="25">
        <v>45413</v>
      </c>
    </row>
    <row r="42" spans="1:13" ht="15.75" thickBot="1" x14ac:dyDescent="0.3">
      <c r="A42" s="8" t="s">
        <v>5</v>
      </c>
      <c r="B42" s="8">
        <v>2024</v>
      </c>
      <c r="C42" s="8" t="s">
        <v>44</v>
      </c>
      <c r="D42" s="8">
        <v>400618</v>
      </c>
      <c r="E42" s="8">
        <v>1412732</v>
      </c>
      <c r="F42" s="8" t="s">
        <v>4</v>
      </c>
      <c r="G42" s="2">
        <v>17.690187101910801</v>
      </c>
      <c r="H42" s="3">
        <v>9.8492237261146496</v>
      </c>
      <c r="I42" s="5">
        <v>162</v>
      </c>
      <c r="J42" s="2">
        <v>23.8789311305732</v>
      </c>
      <c r="K42" s="3">
        <v>11.960837977707</v>
      </c>
      <c r="L42" s="7">
        <v>535</v>
      </c>
      <c r="M42" s="25">
        <v>45413</v>
      </c>
    </row>
    <row r="43" spans="1:13" ht="15.75" thickBot="1" x14ac:dyDescent="0.3">
      <c r="A43" s="8" t="s">
        <v>5</v>
      </c>
      <c r="B43" s="8">
        <v>2024</v>
      </c>
      <c r="C43" s="8" t="s">
        <v>45</v>
      </c>
      <c r="D43" s="8">
        <v>399618</v>
      </c>
      <c r="E43" s="8">
        <v>1413732</v>
      </c>
      <c r="F43" s="8" t="s">
        <v>4</v>
      </c>
      <c r="G43" s="2">
        <v>42.400253781847098</v>
      </c>
      <c r="H43" s="3">
        <v>19.802821457006399</v>
      </c>
      <c r="I43" s="5">
        <v>236</v>
      </c>
      <c r="J43" s="2">
        <v>49.0652617436306</v>
      </c>
      <c r="K43" s="3">
        <v>22.551502786624201</v>
      </c>
      <c r="L43" s="7">
        <v>610</v>
      </c>
      <c r="M43" s="25">
        <v>45413</v>
      </c>
    </row>
    <row r="45" spans="1:13" x14ac:dyDescent="0.25">
      <c r="F45" s="16" t="s">
        <v>53</v>
      </c>
      <c r="G45" s="13">
        <f>AVERAGE(G4:G43)</f>
        <v>56.393189021626846</v>
      </c>
      <c r="H45" s="13">
        <f t="shared" ref="H45:L45" si="0">AVERAGE(H4:H43)</f>
        <v>30.634423517117831</v>
      </c>
      <c r="I45" s="13">
        <f t="shared" si="0"/>
        <v>228.625</v>
      </c>
      <c r="J45" s="13">
        <f t="shared" si="0"/>
        <v>67.045821386276543</v>
      </c>
      <c r="K45" s="13">
        <f t="shared" si="0"/>
        <v>34.528024855692664</v>
      </c>
      <c r="L45" s="13">
        <f t="shared" si="0"/>
        <v>900.95</v>
      </c>
    </row>
    <row r="46" spans="1:13" x14ac:dyDescent="0.25">
      <c r="F46" s="17" t="s">
        <v>50</v>
      </c>
      <c r="G46" s="14">
        <f>AVEDEV(G4:G43)</f>
        <v>27.232121097004647</v>
      </c>
      <c r="H46" s="14">
        <f t="shared" ref="H46:L46" si="1">AVEDEV(H4:H43)</f>
        <v>17.506482944367033</v>
      </c>
      <c r="I46" s="14">
        <f t="shared" si="1"/>
        <v>72.8</v>
      </c>
      <c r="J46" s="14">
        <f t="shared" si="1"/>
        <v>29.195961098550704</v>
      </c>
      <c r="K46" s="14">
        <f t="shared" si="1"/>
        <v>17.669996672223313</v>
      </c>
      <c r="L46" s="14">
        <f t="shared" si="1"/>
        <v>346.3925000000001</v>
      </c>
    </row>
    <row r="47" spans="1:13" x14ac:dyDescent="0.25">
      <c r="F47" s="18" t="s">
        <v>51</v>
      </c>
      <c r="G47" s="15">
        <f>MAX(G4:G43)</f>
        <v>138.08986863057299</v>
      </c>
      <c r="H47" s="15">
        <f t="shared" ref="H47:L47" si="2">MAX(H4:H43)</f>
        <v>239.267640326433</v>
      </c>
      <c r="I47" s="15">
        <f t="shared" si="2"/>
        <v>460</v>
      </c>
      <c r="J47" s="15">
        <f t="shared" si="2"/>
        <v>142.51950636942701</v>
      </c>
      <c r="K47" s="15">
        <f t="shared" si="2"/>
        <v>243.71777965764301</v>
      </c>
      <c r="L47" s="15">
        <f t="shared" si="2"/>
        <v>2065</v>
      </c>
    </row>
    <row r="48" spans="1:13" x14ac:dyDescent="0.25">
      <c r="F48" s="18" t="s">
        <v>52</v>
      </c>
      <c r="G48" s="15">
        <f>MIN(G4:G43)</f>
        <v>16.596362460191099</v>
      </c>
      <c r="H48" s="15">
        <f t="shared" ref="H48:L48" si="3">MIN(H4:H43)</f>
        <v>8.6773487261146496</v>
      </c>
      <c r="I48" s="15">
        <f t="shared" si="3"/>
        <v>87</v>
      </c>
      <c r="J48" s="15">
        <f t="shared" si="3"/>
        <v>23.8789311305732</v>
      </c>
      <c r="K48" s="15">
        <f t="shared" si="3"/>
        <v>11.783812699044599</v>
      </c>
      <c r="L48" s="15">
        <f t="shared" si="3"/>
        <v>348</v>
      </c>
    </row>
  </sheetData>
  <sortState xmlns:xlrd2="http://schemas.microsoft.com/office/spreadsheetml/2017/richdata2" ref="A4:I43">
    <sortCondition ref="A4:A43"/>
    <sortCondition ref="C4:C43"/>
  </sortState>
  <mergeCells count="2">
    <mergeCell ref="G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KORA</dc:creator>
  <cp:lastModifiedBy>MAMADOU KORA</cp:lastModifiedBy>
  <dcterms:created xsi:type="dcterms:W3CDTF">2025-08-12T01:20:15Z</dcterms:created>
  <dcterms:modified xsi:type="dcterms:W3CDTF">2025-08-12T16:15:46Z</dcterms:modified>
</cp:coreProperties>
</file>